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권지성\Desktop\GraphRAG\LangGraph-main\LangGraph-main\2026_인턴지원\"/>
    </mc:Choice>
  </mc:AlternateContent>
  <xr:revisionPtr revIDLastSave="0" documentId="13_ncr:1_{4ED2E91A-A0D4-461C-AE67-47DDC5824ED8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성적입력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1" i="1" l="1" a="1"/>
  <c r="E61" i="1" s="1"/>
  <c r="E60" i="1" a="1"/>
  <c r="E60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E59" i="1" l="1"/>
  <c r="E5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<sst xmlns="http://schemas.openxmlformats.org/spreadsheetml/2006/main" count="116" uniqueCount="51">
  <si>
    <r>
      <rPr>
        <b/>
        <sz val="13"/>
        <color rgb="FFFFFFFF"/>
        <rFont val="DejaVu Sans"/>
        <family val="2"/>
      </rPr>
      <t xml:space="preserve">숭실대학교 </t>
    </r>
    <r>
      <rPr>
        <b/>
        <sz val="13"/>
        <color rgb="FFFFFFFF"/>
        <rFont val="맑은 고딕"/>
        <family val="3"/>
        <charset val="129"/>
      </rPr>
      <t xml:space="preserve">GPA </t>
    </r>
    <r>
      <rPr>
        <b/>
        <sz val="13"/>
        <color rgb="FFFFFFFF"/>
        <rFont val="DejaVu Sans"/>
        <family val="2"/>
      </rPr>
      <t xml:space="preserve">계산기 </t>
    </r>
    <r>
      <rPr>
        <b/>
        <sz val="13"/>
        <color rgb="FFFFFFFF"/>
        <rFont val="맑은 고딕"/>
        <family val="3"/>
        <charset val="129"/>
      </rPr>
      <t xml:space="preserve">(4.5 </t>
    </r>
    <r>
      <rPr>
        <b/>
        <sz val="13"/>
        <color rgb="FFFFFFFF"/>
        <rFont val="DejaVu Sans"/>
        <family val="2"/>
      </rPr>
      <t>만점 기준</t>
    </r>
    <r>
      <rPr>
        <b/>
        <sz val="13"/>
        <color rgb="FFFFFFFF"/>
        <rFont val="맑은 고딕"/>
        <family val="3"/>
        <charset val="129"/>
      </rPr>
      <t>)</t>
    </r>
  </si>
  <si>
    <t>▶ 숭실대 성적 환산 기준</t>
  </si>
  <si>
    <r>
      <rPr>
        <b/>
        <sz val="10"/>
        <color rgb="FF1F3864"/>
        <rFont val="DejaVu Sans"/>
        <family val="2"/>
      </rPr>
      <t xml:space="preserve">▶ 과목 입력 — 노란 셀만 채우세요 </t>
    </r>
    <r>
      <rPr>
        <b/>
        <sz val="10"/>
        <color rgb="FF1F3864"/>
        <rFont val="맑은 고딕"/>
        <family val="3"/>
        <charset val="129"/>
      </rPr>
      <t>(</t>
    </r>
    <r>
      <rPr>
        <b/>
        <sz val="10"/>
        <color rgb="FF1F3864"/>
        <rFont val="DejaVu Sans"/>
        <family val="2"/>
      </rPr>
      <t>구분</t>
    </r>
    <r>
      <rPr>
        <b/>
        <sz val="10"/>
        <color rgb="FF1F3864"/>
        <rFont val="맑은 고딕"/>
        <family val="3"/>
        <charset val="129"/>
      </rPr>
      <t xml:space="preserve">: </t>
    </r>
    <r>
      <rPr>
        <b/>
        <sz val="10"/>
        <color rgb="FF1F3864"/>
        <rFont val="DejaVu Sans"/>
        <family val="2"/>
      </rPr>
      <t>주전공</t>
    </r>
    <r>
      <rPr>
        <b/>
        <sz val="10"/>
        <color rgb="FF1F3864"/>
        <rFont val="맑은 고딕"/>
        <family val="3"/>
        <charset val="129"/>
      </rPr>
      <t>/</t>
    </r>
    <r>
      <rPr>
        <b/>
        <sz val="10"/>
        <color rgb="FF1F3864"/>
        <rFont val="DejaVu Sans"/>
        <family val="2"/>
      </rPr>
      <t>부전공</t>
    </r>
    <r>
      <rPr>
        <b/>
        <sz val="10"/>
        <color rgb="FF1F3864"/>
        <rFont val="맑은 고딕"/>
        <family val="3"/>
        <charset val="129"/>
      </rPr>
      <t>/</t>
    </r>
    <r>
      <rPr>
        <b/>
        <sz val="10"/>
        <color rgb="FF1F3864"/>
        <rFont val="DejaVu Sans"/>
        <family val="2"/>
      </rPr>
      <t>교양</t>
    </r>
    <r>
      <rPr>
        <b/>
        <sz val="10"/>
        <color rgb="FF1F3864"/>
        <rFont val="맑은 고딕"/>
        <family val="3"/>
        <charset val="129"/>
      </rPr>
      <t>/</t>
    </r>
    <r>
      <rPr>
        <b/>
        <sz val="10"/>
        <color rgb="FF1F3864"/>
        <rFont val="DejaVu Sans"/>
        <family val="2"/>
      </rPr>
      <t>기타</t>
    </r>
    <r>
      <rPr>
        <b/>
        <sz val="10"/>
        <color rgb="FF1F3864"/>
        <rFont val="맑은 고딕"/>
        <family val="3"/>
        <charset val="129"/>
      </rPr>
      <t>)</t>
    </r>
  </si>
  <si>
    <t>성적</t>
  </si>
  <si>
    <t>환산점수</t>
  </si>
  <si>
    <t>과목명</t>
  </si>
  <si>
    <t>구분</t>
  </si>
  <si>
    <t>이수학점</t>
  </si>
  <si>
    <r>
      <rPr>
        <b/>
        <sz val="10"/>
        <color rgb="FFFFFFFF"/>
        <rFont val="DejaVu Sans"/>
        <family val="2"/>
      </rPr>
      <t>환산점수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자동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</si>
  <si>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DejaVu Sans"/>
        <family val="2"/>
      </rPr>
      <t>가중값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자동</t>
    </r>
    <r>
      <rPr>
        <b/>
        <sz val="10"/>
        <color rgb="FFFFFFFF"/>
        <rFont val="맑은 고딕"/>
        <family val="3"/>
        <charset val="129"/>
      </rPr>
      <t>)</t>
    </r>
  </si>
  <si>
    <t>A+</t>
  </si>
  <si>
    <t>데이터베이스</t>
  </si>
  <si>
    <t>주전공</t>
  </si>
  <si>
    <t>A0</t>
  </si>
  <si>
    <t>운영체제</t>
  </si>
  <si>
    <t>A-</t>
  </si>
  <si>
    <t>알고리즘</t>
  </si>
  <si>
    <t>B+</t>
  </si>
  <si>
    <t>소프트웨어공학</t>
  </si>
  <si>
    <t>B0</t>
  </si>
  <si>
    <t>컴퓨터네트워크</t>
  </si>
  <si>
    <t>B-</t>
  </si>
  <si>
    <t>머신러닝</t>
  </si>
  <si>
    <t>C+</t>
  </si>
  <si>
    <t>캡스톤디자인</t>
  </si>
  <si>
    <t>C0</t>
  </si>
  <si>
    <t>재무관리</t>
  </si>
  <si>
    <t>C-</t>
  </si>
  <si>
    <t>금융공학</t>
  </si>
  <si>
    <t>D+</t>
  </si>
  <si>
    <t>경제원론</t>
  </si>
  <si>
    <t>D0</t>
  </si>
  <si>
    <t>D-</t>
  </si>
  <si>
    <t>F</t>
  </si>
  <si>
    <t>P</t>
  </si>
  <si>
    <t>P/F</t>
  </si>
  <si>
    <t>NP</t>
  </si>
  <si>
    <r>
      <rPr>
        <b/>
        <sz val="11"/>
        <color rgb="FF1F3864"/>
        <rFont val="맑은 고딕"/>
        <family val="3"/>
        <charset val="129"/>
      </rPr>
      <t xml:space="preserve">▶ GPA </t>
    </r>
    <r>
      <rPr>
        <b/>
        <sz val="11"/>
        <color rgb="FF1F3864"/>
        <rFont val="DejaVu Sans"/>
        <family val="2"/>
      </rPr>
      <t>자동 계산 결과</t>
    </r>
  </si>
  <si>
    <t>전체 이수학점</t>
  </si>
  <si>
    <t>주전공 이수학점</t>
  </si>
  <si>
    <r>
      <rPr>
        <b/>
        <sz val="10"/>
        <rFont val="DejaVu Sans"/>
        <family val="2"/>
      </rPr>
      <t xml:space="preserve">전체 </t>
    </r>
    <r>
      <rPr>
        <b/>
        <sz val="10"/>
        <rFont val="맑은 고딕"/>
        <family val="3"/>
        <charset val="129"/>
      </rPr>
      <t xml:space="preserve">GPA (4.5 </t>
    </r>
    <r>
      <rPr>
        <b/>
        <sz val="10"/>
        <rFont val="DejaVu Sans"/>
        <family val="2"/>
      </rPr>
      <t>기준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</si>
  <si>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DejaVu Sans"/>
        <family val="2"/>
      </rPr>
      <t xml:space="preserve">주전공 </t>
    </r>
    <r>
      <rPr>
        <b/>
        <sz val="10"/>
        <rFont val="맑은 고딕"/>
        <family val="3"/>
        <charset val="129"/>
      </rPr>
      <t>GPA</t>
    </r>
  </si>
  <si>
    <r>
      <rPr>
        <i/>
        <sz val="9"/>
        <color rgb="FF555555"/>
        <rFont val="DejaVu Sans"/>
        <family val="2"/>
      </rPr>
      <t>※ 숭실대 기준</t>
    </r>
    <r>
      <rPr>
        <i/>
        <sz val="9"/>
        <color rgb="FF555555"/>
        <rFont val="맑은 고딕"/>
        <family val="3"/>
        <charset val="129"/>
      </rPr>
      <t xml:space="preserve">: A+=4.5 / A0=4.3 / A-=4.0 / B+=3.5 / B0=3.3 / B-=3.0 / C+=2.5 / C0=2.3 / C-=2.0 / D+=1.5 / D0=1.3 / D-=1.0 / F=0  |  P/F </t>
    </r>
    <r>
      <rPr>
        <i/>
        <sz val="9"/>
        <color rgb="FF555555"/>
        <rFont val="DejaVu Sans"/>
        <family val="2"/>
      </rPr>
      <t xml:space="preserve">과목은 </t>
    </r>
    <r>
      <rPr>
        <i/>
        <sz val="9"/>
        <color rgb="FF555555"/>
        <rFont val="맑은 고딕"/>
        <family val="3"/>
        <charset val="129"/>
      </rPr>
      <t xml:space="preserve">GPA </t>
    </r>
    <r>
      <rPr>
        <i/>
        <sz val="9"/>
        <color rgb="FF555555"/>
        <rFont val="DejaVu Sans"/>
        <family val="2"/>
      </rPr>
      <t>산정 제외</t>
    </r>
  </si>
  <si>
    <t>A0</t>
    <phoneticPr fontId="17" type="noConversion"/>
  </si>
  <si>
    <t>B0</t>
    <phoneticPr fontId="17" type="noConversion"/>
  </si>
  <si>
    <t>A+</t>
    <phoneticPr fontId="17" type="noConversion"/>
  </si>
  <si>
    <t>B+</t>
    <phoneticPr fontId="17" type="noConversion"/>
  </si>
  <si>
    <t>A-</t>
    <phoneticPr fontId="17" type="noConversion"/>
  </si>
  <si>
    <t>교양</t>
    <phoneticPr fontId="17" type="noConversion"/>
  </si>
  <si>
    <t>P</t>
    <phoneticPr fontId="17" type="noConversion"/>
  </si>
  <si>
    <t>B-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</si>
</sst>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8">
    <font>
      <sz val="11"/>
      <color theme="1"/>
      <name val="Calibri"/>
      <family val="2"/>
      <charset val="1"/>
    </font>
    <font>
      <b/>
      <sz val="13"/>
      <color rgb="FFFFFFFF"/>
      <name val="DejaVu Sans"/>
      <family val="2"/>
    </font>
    <font>
      <b/>
      <sz val="13"/>
      <color rgb="FFFFFFFF"/>
      <name val="맑은 고딕"/>
      <family val="3"/>
      <charset val="129"/>
    </font>
    <font>
      <b/>
      <sz val="10"/>
      <color rgb="FF1F3864"/>
      <name val="DejaVu Sans"/>
      <family val="2"/>
    </font>
    <font>
      <b/>
      <sz val="10"/>
      <color rgb="FF1F3864"/>
      <name val="맑은 고딕"/>
      <family val="3"/>
      <charset val="129"/>
    </font>
    <font>
      <b/>
      <sz val="10"/>
      <color rgb="FFFFFFFF"/>
      <name val="DejaVu Sans"/>
      <family val="2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1"/>
      <color rgb="FF1F3864"/>
      <name val="DejaVu Sans"/>
      <family val="2"/>
    </font>
    <font>
      <b/>
      <sz val="10"/>
      <name val="DejaVu Sans"/>
      <family val="2"/>
    </font>
    <font>
      <b/>
      <sz val="11"/>
      <color rgb="FF0000FF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555555"/>
      <name val="DejaVu Sans"/>
      <family val="2"/>
    </font>
    <font>
      <i/>
      <sz val="9"/>
      <color rgb="FF555555"/>
      <name val="맑은 고딕"/>
      <family val="3"/>
      <charset val="129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F2F2F2"/>
        <bgColor rgb="FFE8F5E9"/>
      </patternFill>
    </fill>
    <fill>
      <patternFill patternType="solid">
        <fgColor rgb="FFFFFDE7"/>
        <bgColor rgb="FFFFFFFF"/>
      </patternFill>
    </fill>
    <fill>
      <patternFill patternType="solid">
        <fgColor rgb="FFFFFFFF"/>
        <bgColor rgb="FFFFFDE7"/>
      </patternFill>
    </fill>
    <fill>
      <patternFill patternType="solid">
        <fgColor rgb="FFE8F5E9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5" fillId="4" borderId="0" xfId="0" applyFont="1" applyFill="1" applyAlignment="1">
      <alignment horizontal="left" wrapText="1"/>
    </xf>
    <xf numFmtId="2" fontId="13" fillId="6" borderId="2" xfId="0" applyNumberFormat="1" applyFont="1" applyFill="1" applyBorder="1" applyAlignment="1">
      <alignment horizontal="center" vertical="center"/>
    </xf>
    <xf numFmtId="176" fontId="13" fillId="6" borderId="2" xfId="0" applyNumberFormat="1" applyFont="1" applyFill="1" applyBorder="1" applyAlignment="1">
      <alignment horizontal="center" vertical="center"/>
    </xf>
    <xf numFmtId="0" fontId="10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8F5E9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A45" zoomScaleNormal="100" workbookViewId="0">
      <selection activeCell="E59" sqref="E59:I59"/>
    </sheetView>
  </sheetViews>
  <sheetFormatPr defaultColWidth="8.6640625" defaultRowHeight="14.25"/>
  <cols>
    <col min="1" max="1" width="8" customWidth="1"/>
    <col min="2" max="2" width="10" customWidth="1"/>
    <col min="3" max="3" width="2" customWidth="1"/>
    <col min="4" max="4" width="22" customWidth="1"/>
    <col min="5" max="5" width="10" customWidth="1"/>
    <col min="6" max="7" width="8" customWidth="1"/>
    <col min="8" max="9" width="12" customWidth="1"/>
  </cols>
  <sheetData>
    <row r="1" spans="1:9" ht="27.75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3" spans="1:9" ht="15.75">
      <c r="A3" s="5" t="s">
        <v>1</v>
      </c>
      <c r="B3" s="5"/>
      <c r="D3" s="5" t="s">
        <v>2</v>
      </c>
      <c r="E3" s="5"/>
      <c r="F3" s="5"/>
      <c r="G3" s="5"/>
      <c r="H3" s="5"/>
      <c r="I3" s="5"/>
    </row>
    <row r="4" spans="1:9" ht="21.75" customHeight="1">
      <c r="A4" s="7" t="s">
        <v>3</v>
      </c>
      <c r="B4" s="7" t="s">
        <v>4</v>
      </c>
      <c r="D4" s="8" t="s">
        <v>5</v>
      </c>
      <c r="E4" s="8" t="s">
        <v>6</v>
      </c>
      <c r="F4" s="8" t="s">
        <v>7</v>
      </c>
      <c r="G4" s="8" t="s">
        <v>3</v>
      </c>
      <c r="H4" s="8" t="s">
        <v>8</v>
      </c>
      <c r="I4" s="8" t="s">
        <v>9</v>
      </c>
    </row>
    <row r="5" spans="1:9" ht="18" customHeight="1">
      <c r="A5" s="9" t="s">
        <v>10</v>
      </c>
      <c r="B5" s="9">
        <v>4.5</v>
      </c>
      <c r="D5" s="10" t="s">
        <v>11</v>
      </c>
      <c r="E5" s="11" t="s">
        <v>12</v>
      </c>
      <c r="F5" s="11">
        <v>3</v>
      </c>
      <c r="G5" s="12" t="s">
        <v>13</v>
      </c>
      <c r="H5" s="13">
        <f t="shared" ref="H5:H36" si="0">IF(G5="","",IFERROR(VLOOKUP(G5,$A$5:$B$19,2,FALSE()),"?"))</f>
        <v>4.3</v>
      </c>
      <c r="I5" s="13">
        <f t="shared" ref="I5:I36" si="1">IF(OR(H5="",H5="P/F",H5="?"),"",F5*H5)</f>
        <v>12.899999999999999</v>
      </c>
    </row>
    <row r="6" spans="1:9" ht="18" customHeight="1">
      <c r="A6" s="14" t="s">
        <v>13</v>
      </c>
      <c r="B6" s="14">
        <v>4.3</v>
      </c>
      <c r="D6" s="10" t="s">
        <v>14</v>
      </c>
      <c r="E6" s="11" t="s">
        <v>12</v>
      </c>
      <c r="F6" s="12">
        <v>3</v>
      </c>
      <c r="G6" s="12" t="s">
        <v>43</v>
      </c>
      <c r="H6" s="13">
        <f t="shared" si="0"/>
        <v>4.3</v>
      </c>
      <c r="I6" s="13">
        <f t="shared" si="1"/>
        <v>12.899999999999999</v>
      </c>
    </row>
    <row r="7" spans="1:9" ht="18" customHeight="1">
      <c r="A7" s="9" t="s">
        <v>15</v>
      </c>
      <c r="B7" s="9">
        <v>4</v>
      </c>
      <c r="D7" s="10" t="s">
        <v>16</v>
      </c>
      <c r="E7" s="11" t="s">
        <v>12</v>
      </c>
      <c r="F7" s="12">
        <v>3</v>
      </c>
      <c r="G7" s="12" t="s">
        <v>17</v>
      </c>
      <c r="H7" s="13">
        <f t="shared" si="0"/>
        <v>3.5</v>
      </c>
      <c r="I7" s="13">
        <f t="shared" si="1"/>
        <v>10.5</v>
      </c>
    </row>
    <row r="8" spans="1:9" ht="18" customHeight="1">
      <c r="A8" s="14" t="s">
        <v>17</v>
      </c>
      <c r="B8" s="14">
        <v>3.5</v>
      </c>
      <c r="D8" s="10" t="s">
        <v>18</v>
      </c>
      <c r="E8" s="11" t="s">
        <v>12</v>
      </c>
      <c r="F8" s="12">
        <v>3</v>
      </c>
      <c r="G8" s="12" t="s">
        <v>43</v>
      </c>
      <c r="H8" s="13">
        <f t="shared" si="0"/>
        <v>4.3</v>
      </c>
      <c r="I8" s="13">
        <f t="shared" si="1"/>
        <v>12.899999999999999</v>
      </c>
    </row>
    <row r="9" spans="1:9" ht="18" customHeight="1">
      <c r="A9" s="9" t="s">
        <v>19</v>
      </c>
      <c r="B9" s="9">
        <v>3.3</v>
      </c>
      <c r="D9" s="10" t="s">
        <v>20</v>
      </c>
      <c r="E9" s="11" t="s">
        <v>12</v>
      </c>
      <c r="F9" s="12">
        <v>3</v>
      </c>
      <c r="G9" s="12" t="s">
        <v>44</v>
      </c>
      <c r="H9" s="13">
        <f t="shared" si="0"/>
        <v>3.3</v>
      </c>
      <c r="I9" s="13">
        <f t="shared" si="1"/>
        <v>9.8999999999999986</v>
      </c>
    </row>
    <row r="10" spans="1:9" ht="18" customHeight="1">
      <c r="A10" s="14" t="s">
        <v>21</v>
      </c>
      <c r="B10" s="14">
        <v>3</v>
      </c>
      <c r="D10" s="10" t="s">
        <v>22</v>
      </c>
      <c r="E10" s="11" t="s">
        <v>12</v>
      </c>
      <c r="F10" s="12">
        <v>3</v>
      </c>
      <c r="G10" s="12" t="s">
        <v>45</v>
      </c>
      <c r="H10" s="13">
        <f t="shared" si="0"/>
        <v>4.5</v>
      </c>
      <c r="I10" s="13">
        <f t="shared" si="1"/>
        <v>13.5</v>
      </c>
    </row>
    <row r="11" spans="1:9" ht="18" customHeight="1">
      <c r="A11" s="9" t="s">
        <v>23</v>
      </c>
      <c r="B11" s="9">
        <v>2.5</v>
      </c>
      <c r="D11" s="10" t="s">
        <v>24</v>
      </c>
      <c r="E11" s="11" t="s">
        <v>12</v>
      </c>
      <c r="F11" s="12">
        <v>3</v>
      </c>
      <c r="G11" s="12" t="s">
        <v>46</v>
      </c>
      <c r="H11" s="13">
        <f t="shared" si="0"/>
        <v>3.5</v>
      </c>
      <c r="I11" s="13">
        <f t="shared" si="1"/>
        <v>10.5</v>
      </c>
    </row>
    <row r="12" spans="1:9" ht="18" customHeight="1">
      <c r="A12" s="14" t="s">
        <v>25</v>
      </c>
      <c r="B12" s="14">
        <v>2.2999999999999998</v>
      </c>
      <c r="D12" s="10" t="s">
        <v>26</v>
      </c>
      <c r="E12" s="11" t="s">
        <v>12</v>
      </c>
      <c r="F12" s="12">
        <v>3</v>
      </c>
      <c r="G12" s="12" t="s">
        <v>46</v>
      </c>
      <c r="H12" s="13">
        <f t="shared" si="0"/>
        <v>3.5</v>
      </c>
      <c r="I12" s="13">
        <f t="shared" si="1"/>
        <v>10.5</v>
      </c>
    </row>
    <row r="13" spans="1:9" ht="18" customHeight="1">
      <c r="A13" s="9" t="s">
        <v>27</v>
      </c>
      <c r="B13" s="9">
        <v>2</v>
      </c>
      <c r="D13" s="10" t="s">
        <v>28</v>
      </c>
      <c r="E13" s="11" t="s">
        <v>12</v>
      </c>
      <c r="F13" s="12">
        <v>3</v>
      </c>
      <c r="G13" s="12" t="s">
        <v>47</v>
      </c>
      <c r="H13" s="13">
        <f t="shared" si="0"/>
        <v>4</v>
      </c>
      <c r="I13" s="13">
        <f t="shared" si="1"/>
        <v>12</v>
      </c>
    </row>
    <row r="14" spans="1:9" ht="18" customHeight="1">
      <c r="A14" s="14" t="s">
        <v>29</v>
      </c>
      <c r="B14" s="14">
        <v>1.5</v>
      </c>
      <c r="D14" s="10" t="s">
        <v>30</v>
      </c>
      <c r="E14" s="11" t="s">
        <v>12</v>
      </c>
      <c r="F14" s="12">
        <v>3</v>
      </c>
      <c r="G14" s="12" t="s">
        <v>43</v>
      </c>
      <c r="H14" s="13">
        <f t="shared" si="0"/>
        <v>4.3</v>
      </c>
      <c r="I14" s="13">
        <f t="shared" si="1"/>
        <v>12.899999999999999</v>
      </c>
    </row>
    <row r="15" spans="1:9" ht="18" customHeight="1">
      <c r="A15" s="9" t="s">
        <v>31</v>
      </c>
      <c r="B15" s="9">
        <v>1.3</v>
      </c>
      <c r="D15" s="15"/>
      <c r="E15" s="11" t="s">
        <v>12</v>
      </c>
      <c r="F15" s="11">
        <v>3</v>
      </c>
      <c r="G15" s="12" t="s">
        <v>46</v>
      </c>
      <c r="H15" s="13">
        <f t="shared" si="0"/>
        <v>3.5</v>
      </c>
      <c r="I15" s="13">
        <f t="shared" si="1"/>
        <v>10.5</v>
      </c>
    </row>
    <row r="16" spans="1:9" ht="18" customHeight="1">
      <c r="A16" s="14" t="s">
        <v>32</v>
      </c>
      <c r="B16" s="14">
        <v>1</v>
      </c>
      <c r="D16" s="15"/>
      <c r="E16" s="11" t="s">
        <v>12</v>
      </c>
      <c r="F16" s="12">
        <v>3</v>
      </c>
      <c r="G16" s="12" t="s">
        <v>47</v>
      </c>
      <c r="H16" s="13">
        <f t="shared" si="0"/>
        <v>4</v>
      </c>
      <c r="I16" s="13">
        <f t="shared" si="1"/>
        <v>12</v>
      </c>
    </row>
    <row r="17" spans="1:9" ht="18" customHeight="1">
      <c r="A17" s="9" t="s">
        <v>33</v>
      </c>
      <c r="B17" s="9">
        <v>0</v>
      </c>
      <c r="D17" s="15"/>
      <c r="E17" s="11" t="s">
        <v>12</v>
      </c>
      <c r="F17" s="12">
        <v>3</v>
      </c>
      <c r="G17" s="12" t="s">
        <v>46</v>
      </c>
      <c r="H17" s="13">
        <f t="shared" si="0"/>
        <v>3.5</v>
      </c>
      <c r="I17" s="13">
        <f t="shared" si="1"/>
        <v>10.5</v>
      </c>
    </row>
    <row r="18" spans="1:9" ht="18" customHeight="1">
      <c r="A18" s="14" t="s">
        <v>34</v>
      </c>
      <c r="B18" s="14" t="s">
        <v>35</v>
      </c>
      <c r="D18" s="15"/>
      <c r="E18" s="11" t="s">
        <v>12</v>
      </c>
      <c r="F18" s="12">
        <v>3</v>
      </c>
      <c r="G18" s="12" t="s">
        <v>47</v>
      </c>
      <c r="H18" s="13">
        <f t="shared" si="0"/>
        <v>4</v>
      </c>
      <c r="I18" s="13">
        <f t="shared" si="1"/>
        <v>12</v>
      </c>
    </row>
    <row r="19" spans="1:9" ht="18" customHeight="1">
      <c r="A19" s="9" t="s">
        <v>36</v>
      </c>
      <c r="B19" s="9" t="s">
        <v>35</v>
      </c>
      <c r="D19" s="15"/>
      <c r="E19" s="11" t="s">
        <v>12</v>
      </c>
      <c r="F19" s="12">
        <v>3</v>
      </c>
      <c r="G19" s="12" t="s">
        <v>47</v>
      </c>
      <c r="H19" s="13">
        <f t="shared" si="0"/>
        <v>4</v>
      </c>
      <c r="I19" s="13">
        <f t="shared" si="1"/>
        <v>12</v>
      </c>
    </row>
    <row r="20" spans="1:9" ht="18" customHeight="1">
      <c r="D20" s="15"/>
      <c r="E20" s="11" t="s">
        <v>12</v>
      </c>
      <c r="F20" s="12">
        <v>3</v>
      </c>
      <c r="G20" s="12" t="s">
        <v>47</v>
      </c>
      <c r="H20" s="13">
        <f t="shared" si="0"/>
        <v>4</v>
      </c>
      <c r="I20" s="13">
        <f t="shared" si="1"/>
        <v>12</v>
      </c>
    </row>
    <row r="21" spans="1:9" ht="18" customHeight="1">
      <c r="D21" s="15"/>
      <c r="E21" s="11" t="s">
        <v>12</v>
      </c>
      <c r="F21" s="12">
        <v>3</v>
      </c>
      <c r="G21" s="12" t="s">
        <v>46</v>
      </c>
      <c r="H21" s="13">
        <f t="shared" si="0"/>
        <v>3.5</v>
      </c>
      <c r="I21" s="13">
        <f t="shared" si="1"/>
        <v>10.5</v>
      </c>
    </row>
    <row r="22" spans="1:9" ht="18" customHeight="1">
      <c r="D22" s="15"/>
      <c r="E22" s="11" t="s">
        <v>12</v>
      </c>
      <c r="F22" s="12">
        <v>3</v>
      </c>
      <c r="G22" s="12" t="s">
        <v>47</v>
      </c>
      <c r="H22" s="13">
        <f t="shared" si="0"/>
        <v>4</v>
      </c>
      <c r="I22" s="13">
        <f t="shared" si="1"/>
        <v>12</v>
      </c>
    </row>
    <row r="23" spans="1:9" ht="18" customHeight="1">
      <c r="D23" s="15"/>
      <c r="E23" s="11" t="s">
        <v>12</v>
      </c>
      <c r="F23" s="12">
        <v>3</v>
      </c>
      <c r="G23" s="12" t="s">
        <v>46</v>
      </c>
      <c r="H23" s="13">
        <f t="shared" si="0"/>
        <v>3.5</v>
      </c>
      <c r="I23" s="13">
        <f t="shared" si="1"/>
        <v>10.5</v>
      </c>
    </row>
    <row r="24" spans="1:9" ht="18" customHeight="1">
      <c r="D24" s="15"/>
      <c r="E24" s="11" t="s">
        <v>12</v>
      </c>
      <c r="F24" s="12">
        <v>3</v>
      </c>
      <c r="G24" s="12" t="s">
        <v>47</v>
      </c>
      <c r="H24" s="13">
        <f t="shared" si="0"/>
        <v>4</v>
      </c>
      <c r="I24" s="13">
        <f t="shared" si="1"/>
        <v>12</v>
      </c>
    </row>
    <row r="25" spans="1:9" ht="18" customHeight="1">
      <c r="D25" s="15"/>
      <c r="E25" s="11" t="s">
        <v>12</v>
      </c>
      <c r="F25" s="11">
        <v>3</v>
      </c>
      <c r="G25" s="12" t="s">
        <v>47</v>
      </c>
      <c r="H25" s="13">
        <f t="shared" si="0"/>
        <v>4</v>
      </c>
      <c r="I25" s="13">
        <f t="shared" si="1"/>
        <v>12</v>
      </c>
    </row>
    <row r="26" spans="1:9" ht="18" customHeight="1">
      <c r="D26" s="15"/>
      <c r="E26" s="11" t="s">
        <v>12</v>
      </c>
      <c r="F26" s="12">
        <v>3</v>
      </c>
      <c r="G26" s="12" t="s">
        <v>47</v>
      </c>
      <c r="H26" s="13">
        <f t="shared" si="0"/>
        <v>4</v>
      </c>
      <c r="I26" s="13">
        <f t="shared" si="1"/>
        <v>12</v>
      </c>
    </row>
    <row r="27" spans="1:9" ht="18" customHeight="1">
      <c r="D27" s="15"/>
      <c r="E27" s="11" t="s">
        <v>48</v>
      </c>
      <c r="F27" s="12">
        <v>2</v>
      </c>
      <c r="G27" s="14" t="s">
        <v>45</v>
      </c>
      <c r="H27" s="13">
        <f t="shared" si="0"/>
        <v>4.5</v>
      </c>
      <c r="I27" s="13">
        <f t="shared" si="1"/>
        <v>9</v>
      </c>
    </row>
    <row r="28" spans="1:9" ht="18" customHeight="1">
      <c r="D28" s="15"/>
      <c r="E28" s="11" t="s">
        <v>48</v>
      </c>
      <c r="F28" s="12">
        <v>2</v>
      </c>
      <c r="G28" s="14" t="s">
        <v>47</v>
      </c>
      <c r="H28" s="13">
        <f t="shared" si="0"/>
        <v>4</v>
      </c>
      <c r="I28" s="13">
        <f t="shared" si="1"/>
        <v>8</v>
      </c>
    </row>
    <row r="29" spans="1:9" ht="18" customHeight="1">
      <c r="D29" s="15"/>
      <c r="E29" s="11" t="s">
        <v>48</v>
      </c>
      <c r="F29" s="14">
        <v>2</v>
      </c>
      <c r="G29" s="14" t="s">
        <v>44</v>
      </c>
      <c r="H29" s="13">
        <f t="shared" si="0"/>
        <v>3.3</v>
      </c>
      <c r="I29" s="13">
        <f t="shared" si="1"/>
        <v>6.6</v>
      </c>
    </row>
    <row r="30" spans="1:9" ht="18" customHeight="1">
      <c r="D30" s="15"/>
      <c r="E30" s="11" t="s">
        <v>48</v>
      </c>
      <c r="F30" s="14">
        <v>1</v>
      </c>
      <c r="G30" s="14" t="s">
        <v>49</v>
      </c>
      <c r="H30" s="13" t="str">
        <f t="shared" si="0"/>
        <v>P/F</v>
      </c>
      <c r="I30" s="13" t="str">
        <f t="shared" si="1"/>
        <v/>
      </c>
    </row>
    <row r="31" spans="1:9" ht="18" customHeight="1">
      <c r="D31" s="15"/>
      <c r="E31" s="11" t="s">
        <v>48</v>
      </c>
      <c r="F31" s="14">
        <v>2</v>
      </c>
      <c r="G31" s="14" t="s">
        <v>46</v>
      </c>
      <c r="H31" s="13">
        <f t="shared" si="0"/>
        <v>3.5</v>
      </c>
      <c r="I31" s="13">
        <f t="shared" si="1"/>
        <v>7</v>
      </c>
    </row>
    <row r="32" spans="1:9" ht="18" customHeight="1">
      <c r="D32" s="15"/>
      <c r="E32" s="11" t="s">
        <v>48</v>
      </c>
      <c r="F32" s="14">
        <v>3</v>
      </c>
      <c r="G32" s="14" t="s">
        <v>43</v>
      </c>
      <c r="H32" s="13">
        <f t="shared" si="0"/>
        <v>4.3</v>
      </c>
      <c r="I32" s="13">
        <f t="shared" si="1"/>
        <v>12.899999999999999</v>
      </c>
    </row>
    <row r="33" spans="4:9" ht="18" customHeight="1">
      <c r="D33" s="15"/>
      <c r="E33" s="11" t="s">
        <v>48</v>
      </c>
      <c r="F33" s="14">
        <v>2</v>
      </c>
      <c r="G33" s="14" t="s">
        <v>47</v>
      </c>
      <c r="H33" s="13">
        <f t="shared" si="0"/>
        <v>4</v>
      </c>
      <c r="I33" s="13">
        <f t="shared" si="1"/>
        <v>8</v>
      </c>
    </row>
    <row r="34" spans="4:9" ht="18" customHeight="1">
      <c r="D34" s="15"/>
      <c r="E34" s="11" t="s">
        <v>48</v>
      </c>
      <c r="F34" s="14">
        <v>2</v>
      </c>
      <c r="G34" s="14" t="s">
        <v>47</v>
      </c>
      <c r="H34" s="13">
        <f t="shared" si="0"/>
        <v>4</v>
      </c>
      <c r="I34" s="13">
        <f t="shared" si="1"/>
        <v>8</v>
      </c>
    </row>
    <row r="35" spans="4:9" ht="18" customHeight="1">
      <c r="D35" s="15"/>
      <c r="E35" s="11" t="s">
        <v>48</v>
      </c>
      <c r="F35" s="14">
        <v>3</v>
      </c>
      <c r="G35" s="14" t="s">
        <v>47</v>
      </c>
      <c r="H35" s="13">
        <f t="shared" si="0"/>
        <v>4</v>
      </c>
      <c r="I35" s="13">
        <f t="shared" si="1"/>
        <v>12</v>
      </c>
    </row>
    <row r="36" spans="4:9" ht="18" customHeight="1">
      <c r="D36" s="15"/>
      <c r="E36" s="11" t="s">
        <v>48</v>
      </c>
      <c r="F36" s="14">
        <v>1</v>
      </c>
      <c r="G36" s="14" t="s">
        <v>49</v>
      </c>
      <c r="H36" s="13" t="str">
        <f t="shared" si="0"/>
        <v>P/F</v>
      </c>
      <c r="I36" s="13" t="str">
        <f t="shared" si="1"/>
        <v/>
      </c>
    </row>
    <row r="37" spans="4:9" ht="18" customHeight="1">
      <c r="D37" s="15"/>
      <c r="E37" s="11" t="s">
        <v>48</v>
      </c>
      <c r="F37" s="14">
        <v>3</v>
      </c>
      <c r="G37" s="14" t="s">
        <v>50</v>
      </c>
      <c r="H37" s="13">
        <f t="shared" ref="H37:H68" si="2">IF(G37="","",IFERROR(VLOOKUP(G37,$A$5:$B$19,2,FALSE()),"?"))</f>
        <v>3</v>
      </c>
      <c r="I37" s="13">
        <f t="shared" ref="I37:I68" si="3">IF(OR(H37="",H37="P/F",H37="?"),"",F37*H37)</f>
        <v>9</v>
      </c>
    </row>
    <row r="38" spans="4:9" ht="18" customHeight="1">
      <c r="D38" s="15"/>
      <c r="E38" s="11" t="s">
        <v>48</v>
      </c>
      <c r="F38" s="14">
        <v>2</v>
      </c>
      <c r="G38" s="14" t="s">
        <v>45</v>
      </c>
      <c r="H38" s="13">
        <f t="shared" si="2"/>
        <v>4.5</v>
      </c>
      <c r="I38" s="13">
        <f t="shared" si="3"/>
        <v>9</v>
      </c>
    </row>
    <row r="39" spans="4:9" ht="18" customHeight="1">
      <c r="D39" s="15"/>
      <c r="E39" s="11" t="s">
        <v>48</v>
      </c>
      <c r="F39" s="14">
        <v>3</v>
      </c>
      <c r="G39" s="14" t="s">
        <v>45</v>
      </c>
      <c r="H39" s="13">
        <f t="shared" si="2"/>
        <v>4.5</v>
      </c>
      <c r="I39" s="13">
        <f t="shared" si="3"/>
        <v>13.5</v>
      </c>
    </row>
    <row r="40" spans="4:9" ht="18" customHeight="1">
      <c r="D40" s="15"/>
      <c r="E40" s="11" t="s">
        <v>48</v>
      </c>
      <c r="F40" s="14">
        <v>3</v>
      </c>
      <c r="G40" s="14" t="s">
        <v>45</v>
      </c>
      <c r="H40" s="13">
        <f t="shared" si="2"/>
        <v>4.5</v>
      </c>
      <c r="I40" s="13">
        <f t="shared" si="3"/>
        <v>13.5</v>
      </c>
    </row>
    <row r="41" spans="4:9" ht="18" customHeight="1">
      <c r="D41" s="15"/>
      <c r="E41" s="14"/>
      <c r="F41" s="14"/>
      <c r="G41" s="14"/>
      <c r="H41" s="13" t="str">
        <f t="shared" si="2"/>
        <v/>
      </c>
      <c r="I41" s="13" t="str">
        <f t="shared" si="3"/>
        <v/>
      </c>
    </row>
    <row r="42" spans="4:9" ht="18" customHeight="1">
      <c r="D42" s="15"/>
      <c r="E42" s="14"/>
      <c r="F42" s="14"/>
      <c r="G42" s="14"/>
      <c r="H42" s="13" t="str">
        <f t="shared" si="2"/>
        <v/>
      </c>
      <c r="I42" s="13" t="str">
        <f t="shared" si="3"/>
        <v/>
      </c>
    </row>
    <row r="43" spans="4:9" ht="18" customHeight="1">
      <c r="D43" s="15"/>
      <c r="E43" s="14"/>
      <c r="F43" s="14"/>
      <c r="G43" s="14"/>
      <c r="H43" s="13" t="str">
        <f t="shared" si="2"/>
        <v/>
      </c>
      <c r="I43" s="13" t="str">
        <f t="shared" si="3"/>
        <v/>
      </c>
    </row>
    <row r="44" spans="4:9" ht="18" customHeight="1">
      <c r="D44" s="15"/>
      <c r="E44" s="14"/>
      <c r="F44" s="14"/>
      <c r="G44" s="14"/>
      <c r="H44" s="13" t="str">
        <f t="shared" si="2"/>
        <v/>
      </c>
      <c r="I44" s="13" t="str">
        <f t="shared" si="3"/>
        <v/>
      </c>
    </row>
    <row r="45" spans="4:9" ht="18" customHeight="1">
      <c r="D45" s="15"/>
      <c r="E45" s="14"/>
      <c r="F45" s="14"/>
      <c r="G45" s="14"/>
      <c r="H45" s="13" t="str">
        <f t="shared" si="2"/>
        <v/>
      </c>
      <c r="I45" s="13" t="str">
        <f t="shared" si="3"/>
        <v/>
      </c>
    </row>
    <row r="46" spans="4:9" ht="18" customHeight="1">
      <c r="D46" s="15"/>
      <c r="E46" s="14"/>
      <c r="F46" s="14"/>
      <c r="G46" s="14"/>
      <c r="H46" s="13" t="str">
        <f t="shared" si="2"/>
        <v/>
      </c>
      <c r="I46" s="13" t="str">
        <f t="shared" si="3"/>
        <v/>
      </c>
    </row>
    <row r="47" spans="4:9" ht="18" customHeight="1">
      <c r="D47" s="15"/>
      <c r="E47" s="14"/>
      <c r="F47" s="14"/>
      <c r="G47" s="14"/>
      <c r="H47" s="13" t="str">
        <f t="shared" si="2"/>
        <v/>
      </c>
      <c r="I47" s="13" t="str">
        <f t="shared" si="3"/>
        <v/>
      </c>
    </row>
    <row r="48" spans="4:9" ht="18" customHeight="1">
      <c r="D48" s="15"/>
      <c r="E48" s="14"/>
      <c r="F48" s="14"/>
      <c r="G48" s="14"/>
      <c r="H48" s="13" t="str">
        <f t="shared" si="2"/>
        <v/>
      </c>
      <c r="I48" s="13" t="str">
        <f t="shared" si="3"/>
        <v/>
      </c>
    </row>
    <row r="49" spans="4:9" ht="18" customHeight="1">
      <c r="D49" s="15"/>
      <c r="E49" s="14"/>
      <c r="F49" s="14"/>
      <c r="G49" s="14"/>
      <c r="H49" s="13" t="str">
        <f t="shared" si="2"/>
        <v/>
      </c>
      <c r="I49" s="13" t="str">
        <f t="shared" si="3"/>
        <v/>
      </c>
    </row>
    <row r="50" spans="4:9" ht="18" customHeight="1">
      <c r="D50" s="15"/>
      <c r="E50" s="14"/>
      <c r="F50" s="14"/>
      <c r="G50" s="14"/>
      <c r="H50" s="13" t="str">
        <f t="shared" si="2"/>
        <v/>
      </c>
      <c r="I50" s="13" t="str">
        <f t="shared" si="3"/>
        <v/>
      </c>
    </row>
    <row r="51" spans="4:9" ht="18" customHeight="1">
      <c r="D51" s="15"/>
      <c r="E51" s="14"/>
      <c r="F51" s="14"/>
      <c r="G51" s="14"/>
      <c r="H51" s="13" t="str">
        <f t="shared" si="2"/>
        <v/>
      </c>
      <c r="I51" s="13" t="str">
        <f t="shared" si="3"/>
        <v/>
      </c>
    </row>
    <row r="52" spans="4:9" ht="18" customHeight="1">
      <c r="D52" s="15"/>
      <c r="E52" s="14"/>
      <c r="F52" s="14"/>
      <c r="G52" s="14"/>
      <c r="H52" s="13" t="str">
        <f t="shared" si="2"/>
        <v/>
      </c>
      <c r="I52" s="13" t="str">
        <f t="shared" si="3"/>
        <v/>
      </c>
    </row>
    <row r="53" spans="4:9" ht="18" customHeight="1">
      <c r="D53" s="15"/>
      <c r="E53" s="14"/>
      <c r="F53" s="14"/>
      <c r="G53" s="14"/>
      <c r="H53" s="13" t="str">
        <f t="shared" si="2"/>
        <v/>
      </c>
      <c r="I53" s="13" t="str">
        <f t="shared" si="3"/>
        <v/>
      </c>
    </row>
    <row r="54" spans="4:9" ht="18" customHeight="1">
      <c r="D54" s="15"/>
      <c r="E54" s="14"/>
      <c r="F54" s="14"/>
      <c r="G54" s="14"/>
      <c r="H54" s="13" t="str">
        <f t="shared" si="2"/>
        <v/>
      </c>
      <c r="I54" s="13" t="str">
        <f t="shared" si="3"/>
        <v/>
      </c>
    </row>
    <row r="57" spans="4:9" ht="16.899999999999999">
      <c r="D57" s="4" t="s">
        <v>37</v>
      </c>
      <c r="E57" s="4"/>
      <c r="F57" s="4"/>
      <c r="G57" s="4"/>
      <c r="H57" s="4"/>
      <c r="I57" s="4"/>
    </row>
    <row r="58" spans="4:9" ht="16.899999999999999">
      <c r="D58" s="16" t="s">
        <v>38</v>
      </c>
      <c r="E58" s="3">
        <f>SUMPRODUCT((F5:F54)*ISNUMBER(I5:I54))</f>
        <v>95</v>
      </c>
      <c r="F58" s="3"/>
      <c r="G58" s="3"/>
      <c r="H58" s="3"/>
      <c r="I58" s="3"/>
    </row>
    <row r="59" spans="4:9" ht="16.899999999999999">
      <c r="D59" s="16" t="s">
        <v>39</v>
      </c>
      <c r="E59" s="3">
        <f>SUMPRODUCT((E5:E54="주전공")*(F5:F54)*ISNUMBER(I5:I54))</f>
        <v>66</v>
      </c>
      <c r="F59" s="3"/>
      <c r="G59" s="3"/>
      <c r="H59" s="3"/>
      <c r="I59" s="3"/>
    </row>
    <row r="60" spans="4:9" ht="16.899999999999999">
      <c r="D60" s="16" t="s">
        <v>40</v>
      </c>
      <c r="E60" s="2" cm="1">
        <f t="array" ref="E60">IFERROR(SUM(I5:I54) / SUMPRODUCT(--ISNUMBER(I5:I54), F5:F54), "—")</f>
        <v>3.9263157894736844</v>
      </c>
      <c r="F60" s="2"/>
      <c r="G60" s="2"/>
      <c r="H60" s="2"/>
      <c r="I60" s="2"/>
    </row>
    <row r="61" spans="4:9" ht="16.899999999999999">
      <c r="D61" s="16" t="s">
        <v>41</v>
      </c>
      <c r="E61" s="2" cm="1">
        <f t="array" ref="E61">IFERROR(SUMPRODUCT(--(E5:E54="주전공"), I5:I54) / SUMPRODUCT(--(E5:E54="주전공"), --ISNUMBER(I5:I54), F5:F54), "—")</f>
        <v>3.8863636363636362</v>
      </c>
      <c r="F61" s="2"/>
      <c r="G61" s="2"/>
      <c r="H61" s="2"/>
      <c r="I61" s="2"/>
    </row>
    <row r="63" spans="4:9" ht="24" customHeight="1">
      <c r="D63" s="1" t="s">
        <v>42</v>
      </c>
      <c r="E63" s="1"/>
      <c r="F63" s="1"/>
      <c r="G63" s="1"/>
      <c r="H63" s="1"/>
      <c r="I63" s="1"/>
    </row>
  </sheetData>
  <mergeCells count="9">
    <mergeCell ref="E59:I59"/>
    <mergeCell ref="E60:I60"/>
    <mergeCell ref="E61:I61"/>
    <mergeCell ref="D63:I63"/>
    <mergeCell ref="A1:I1"/>
    <mergeCell ref="A3:B3"/>
    <mergeCell ref="D3:I3"/>
    <mergeCell ref="D57:I57"/>
    <mergeCell ref="E58:I5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성적입력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권지성</cp:lastModifiedBy>
  <cp:revision>0</cp:revision>
  <dcterms:created xsi:type="dcterms:W3CDTF">2026-05-05T07:50:37Z</dcterms:created>
  <dcterms:modified xsi:type="dcterms:W3CDTF">2026-05-05T17:48:37Z</dcterms:modified>
  <dc:language>en-US</dc:language>
</cp:coreProperties>
</file>